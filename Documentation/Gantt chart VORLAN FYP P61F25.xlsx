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8_{57D86225-F95A-3043-AB7D-C495CF656B4F}" xr6:coauthVersionLast="47" xr6:coauthVersionMax="47" xr10:uidLastSave="{00000000-0000-0000-0000-000000000000}"/>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9" l="1"/>
  <c r="I9" i="9"/>
  <c r="G14" i="9"/>
  <c r="G10" i="9"/>
  <c r="I10" i="9"/>
  <c r="G11" i="9"/>
  <c r="G12" i="9"/>
  <c r="G13" i="9"/>
  <c r="G15" i="9"/>
  <c r="G16" i="9"/>
  <c r="G17" i="9"/>
  <c r="G19" i="9"/>
  <c r="G18" i="9"/>
  <c r="G20" i="9"/>
  <c r="G21" i="9"/>
  <c r="G22" i="9"/>
  <c r="G23" i="9"/>
  <c r="G24" i="9"/>
  <c r="G25" i="9"/>
  <c r="I21" i="9"/>
  <c r="I20" i="9"/>
  <c r="I22" i="9"/>
  <c r="I23" i="9"/>
  <c r="I27" i="9"/>
  <c r="I26" i="9"/>
  <c r="G8" i="9"/>
  <c r="I8" i="9"/>
  <c r="I18" i="9"/>
  <c r="K6" i="9"/>
  <c r="I15" i="9"/>
  <c r="I12" i="9"/>
  <c r="I16" i="9"/>
  <c r="K7" i="9"/>
  <c r="K4" i="9"/>
  <c r="A8" i="9"/>
  <c r="I13" i="9"/>
  <c r="I14" i="9"/>
  <c r="L6" i="9"/>
  <c r="M6" i="9"/>
  <c r="N6" i="9"/>
  <c r="O6" i="9"/>
  <c r="I17" i="9"/>
  <c r="K5" i="9"/>
  <c r="I11" i="9"/>
  <c r="P6" i="9"/>
  <c r="L7" i="9"/>
  <c r="Q6" i="9"/>
  <c r="M7" i="9"/>
  <c r="R6" i="9"/>
  <c r="N7" i="9"/>
  <c r="S6" i="9"/>
  <c r="O7" i="9"/>
  <c r="T6" i="9"/>
  <c r="P7" i="9"/>
  <c r="U6" i="9"/>
  <c r="Q7" i="9"/>
  <c r="V6" i="9"/>
  <c r="R7" i="9"/>
  <c r="R5" i="9"/>
  <c r="R4" i="9"/>
  <c r="W6" i="9"/>
  <c r="S7" i="9"/>
  <c r="X6" i="9"/>
  <c r="T7" i="9"/>
  <c r="Y6" i="9"/>
  <c r="U7" i="9"/>
  <c r="Z6" i="9"/>
  <c r="V7" i="9"/>
  <c r="AA6" i="9"/>
  <c r="X7" i="9"/>
  <c r="W7" i="9"/>
  <c r="AB6" i="9"/>
  <c r="Y5" i="9"/>
  <c r="Y4" i="9"/>
  <c r="Y7" i="9"/>
  <c r="AC6" i="9"/>
  <c r="Z7" i="9"/>
  <c r="AD6" i="9"/>
  <c r="AA7" i="9"/>
  <c r="AE6" i="9"/>
  <c r="AB7" i="9"/>
  <c r="AF6" i="9"/>
  <c r="AC7" i="9"/>
  <c r="AG6" i="9"/>
  <c r="AD7" i="9"/>
  <c r="AH6" i="9"/>
  <c r="AE7" i="9"/>
  <c r="AI6" i="9"/>
  <c r="AF4" i="9"/>
  <c r="AF7" i="9"/>
  <c r="AF5" i="9"/>
  <c r="AJ6" i="9"/>
  <c r="AG7" i="9"/>
  <c r="AK6" i="9"/>
  <c r="AH7" i="9"/>
  <c r="AL6" i="9"/>
  <c r="AI7" i="9"/>
  <c r="AM6" i="9"/>
  <c r="AJ7" i="9"/>
  <c r="AN6" i="9"/>
  <c r="AK7" i="9"/>
  <c r="AO6" i="9"/>
  <c r="AL7" i="9"/>
  <c r="AP6" i="9"/>
  <c r="AM7" i="9"/>
  <c r="AM5" i="9"/>
  <c r="AM4" i="9"/>
  <c r="AQ6" i="9"/>
  <c r="AN7" i="9"/>
  <c r="AR6" i="9"/>
  <c r="AO7" i="9"/>
  <c r="AS6" i="9"/>
  <c r="AP7" i="9"/>
  <c r="AT6" i="9"/>
  <c r="AQ7" i="9"/>
  <c r="AU6" i="9"/>
  <c r="AR7" i="9"/>
  <c r="AV6" i="9"/>
  <c r="AS7" i="9"/>
  <c r="AW6" i="9"/>
  <c r="AT7" i="9"/>
  <c r="AT5" i="9"/>
  <c r="AT4" i="9"/>
  <c r="AX6" i="9"/>
  <c r="AU7" i="9"/>
  <c r="AY6" i="9"/>
  <c r="AV7" i="9"/>
  <c r="AZ6" i="9"/>
  <c r="AW7" i="9"/>
  <c r="BA6" i="9"/>
  <c r="AX7" i="9"/>
  <c r="BB6" i="9"/>
  <c r="AY7" i="9"/>
  <c r="BC6" i="9"/>
  <c r="AZ7" i="9"/>
  <c r="BD6" i="9"/>
  <c r="BA5" i="9"/>
  <c r="BA4" i="9"/>
  <c r="BA7" i="9"/>
  <c r="BE6" i="9"/>
  <c r="BB7" i="9"/>
  <c r="BF6" i="9"/>
  <c r="BC7" i="9"/>
  <c r="BG6" i="9"/>
  <c r="BD7" i="9"/>
  <c r="BH6" i="9"/>
  <c r="BE7" i="9"/>
  <c r="BI6" i="9"/>
  <c r="BF7" i="9"/>
  <c r="BJ6" i="9"/>
  <c r="BG7" i="9"/>
  <c r="BK6" i="9"/>
  <c r="BH4" i="9"/>
  <c r="BH7" i="9"/>
  <c r="BH5" i="9"/>
  <c r="BL6" i="9"/>
  <c r="BI7" i="9"/>
  <c r="BM6" i="9"/>
  <c r="BJ7" i="9"/>
  <c r="BN6" i="9"/>
  <c r="BK7" i="9"/>
  <c r="BL7" i="9"/>
  <c r="BM7" i="9"/>
  <c r="BN7" i="9"/>
  <c r="A9" i="9"/>
  <c r="A10" i="9"/>
  <c r="A11" i="9"/>
  <c r="A12" i="9"/>
  <c r="A13" i="9"/>
  <c r="A14" i="9"/>
  <c r="A15" i="9"/>
  <c r="A16" i="9"/>
  <c r="A17" i="9"/>
  <c r="A18" i="9"/>
  <c r="A19" i="9"/>
  <c r="A20" i="9"/>
  <c r="A21" i="9"/>
  <c r="A22" i="9"/>
  <c r="A23" i="9"/>
  <c r="A24" i="9"/>
  <c r="A25" i="9"/>
  <c r="I24" i="9"/>
  <c r="I25" i="9"/>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0" shapeId="0" xr:uid="{00000000-0006-0000-0000-000006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1" shapeId="0" xr:uid="{00000000-0006-0000-0000-000007000000}">
      <text>
        <r>
          <rPr>
            <b/>
            <sz val="9"/>
            <color indexed="81"/>
            <rFont val="Tahoma"/>
            <family val="2"/>
          </rPr>
          <t>End Date:</t>
        </r>
        <r>
          <rPr>
            <sz val="9"/>
            <color indexed="81"/>
            <rFont val="Tahoma"/>
            <family val="2"/>
          </rPr>
          <t xml:space="preserve">
The End Date is calculated based on the Start Date and the Calendar Days columns.</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<sst xmlns="http://schemas.openxmlformats.org/spreadsheetml/2006/main" count="53" uniqueCount="45">
  <si>
    <t>WBS</t>
  </si>
  <si>
    <t>TASK</t>
  </si>
  <si>
    <t>START</t>
  </si>
  <si>
    <t>END</t>
  </si>
  <si>
    <t>DAYS</t>
  </si>
  <si>
    <t>% DONE</t>
  </si>
  <si>
    <t>WORK DAYS</t>
  </si>
  <si>
    <t>PREDECESSOR</t>
  </si>
  <si>
    <t xml:space="preserve">Display Week </t>
  </si>
  <si>
    <t xml:space="preserve">Project Start Date: </t>
  </si>
  <si>
    <t xml:space="preserve">Team Members: </t>
  </si>
  <si>
    <t>FYP-I</t>
  </si>
  <si>
    <t>FYP-II</t>
  </si>
  <si>
    <t>Assigned To</t>
  </si>
  <si>
    <t>DHA Suffa University - CS FYP Project-I- Plan</t>
  </si>
  <si>
    <t>FYP - Fall 25</t>
  </si>
  <si>
    <t>P61F25 Project VORLAN (Versatile Operations of Residential Linkage and Automated Networking)</t>
  </si>
  <si>
    <t>Daniyal Naeem</t>
  </si>
  <si>
    <t>Syeda Mirha Ali</t>
  </si>
  <si>
    <t>Mohammad Umair Shaykh</t>
  </si>
  <si>
    <t>Sarim Khan</t>
  </si>
  <si>
    <t>Requirement Gathering and Planning</t>
  </si>
  <si>
    <t>Daniyal</t>
  </si>
  <si>
    <t>Literature Review</t>
  </si>
  <si>
    <t>Mirha</t>
  </si>
  <si>
    <t>System Design &amp; Architecture</t>
  </si>
  <si>
    <t>Daniyal &amp; Mirha</t>
  </si>
  <si>
    <t>AI Assistant and Module development</t>
  </si>
  <si>
    <t>Sarim</t>
  </si>
  <si>
    <t>Sarim &amp; Daniyal</t>
  </si>
  <si>
    <t>Developed Chatbot Backend</t>
  </si>
  <si>
    <t xml:space="preserve">Crafted System Prompt </t>
  </si>
  <si>
    <t>Home Cloud Module Development</t>
  </si>
  <si>
    <t>Umair</t>
  </si>
  <si>
    <t>Front end Dashboard Development</t>
  </si>
  <si>
    <t>Development of Responsive Front end</t>
  </si>
  <si>
    <t>Umair &amp; Sarim</t>
  </si>
  <si>
    <t>Home security Module Development</t>
  </si>
  <si>
    <t>Firewall integration</t>
  </si>
  <si>
    <t>Test security Module using Selenium</t>
  </si>
  <si>
    <t xml:space="preserve">AI Assistant Temp Setting and Front end </t>
  </si>
  <si>
    <t>Integration of AI &amp; security Modules</t>
  </si>
  <si>
    <t>Prototype Development</t>
  </si>
  <si>
    <t>All Members</t>
  </si>
  <si>
    <t>Final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</si>
</sst>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6"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i/>
      <u/>
      <sz val="8"/>
      <color theme="1" tint="0.34998626667073579"/>
      <name val="Arial"/>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top/>
      <bottom style="thin">
        <color theme="0" tint="-0.34998626667073579"/>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0" borderId="11" xfId="0" applyNumberFormat="1" applyFont="1" applyBorder="1" applyAlignment="1">
      <alignment horizontal="center" vertical="center"/>
    </xf>
    <xf numFmtId="0" fontId="36" fillId="0" borderId="10" xfId="0" applyFont="1" applyBorder="1" applyAlignment="1">
      <alignment vertical="center"/>
    </xf>
    <xf numFmtId="0" fontId="30" fillId="0" borderId="10" xfId="0" applyFont="1" applyBorder="1" applyAlignment="1">
      <alignment horizontal="center" vertical="center"/>
    </xf>
    <xf numFmtId="1" fontId="30" fillId="0" borderId="10" xfId="40" applyNumberFormat="1" applyFont="1" applyFill="1" applyBorder="1" applyAlignment="1" applyProtection="1">
      <alignment horizontal="center" vertical="center"/>
    </xf>
    <xf numFmtId="9" fontId="30" fillId="0" borderId="10" xfId="40" applyFont="1" applyFill="1" applyBorder="1" applyAlignment="1" applyProtection="1">
      <alignment horizontal="center" vertical="center"/>
    </xf>
    <xf numFmtId="1" fontId="30" fillId="0" borderId="10" xfId="0" applyNumberFormat="1" applyFont="1" applyBorder="1" applyAlignment="1">
      <alignment horizontal="center" vertical="center"/>
    </xf>
    <xf numFmtId="0" fontId="30"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 fontId="38" fillId="0" borderId="10"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0" fillId="21" borderId="10" xfId="0" applyNumberFormat="1" applyFont="1" applyFill="1" applyBorder="1" applyAlignment="1">
      <alignment horizontal="center" vertical="center"/>
    </xf>
    <xf numFmtId="0" fontId="36" fillId="0" borderId="10" xfId="0"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1"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0" fillId="0" borderId="10" xfId="0" applyFont="1" applyBorder="1" applyAlignment="1">
      <alignment horizontal="left" vertical="center" wrapText="1" inden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164" fontId="33" fillId="0" borderId="21" xfId="0" applyNumberFormat="1" applyFont="1" applyBorder="1" applyAlignment="1" applyProtection="1">
      <alignment vertical="center" shrinkToFit="1"/>
      <protection locked="0"/>
    </xf>
    <xf numFmtId="0" fontId="40" fillId="0" borderId="21" xfId="0" applyFont="1" applyBorder="1"/>
    <xf numFmtId="165" fontId="35" fillId="23" borderId="11" xfId="0" applyNumberFormat="1" applyFont="1" applyFill="1" applyBorder="1" applyAlignment="1">
      <alignment horizontal="center" vertical="center"/>
    </xf>
    <xf numFmtId="1" fontId="35" fillId="24" borderId="11" xfId="0" applyNumberFormat="1" applyFont="1" applyFill="1" applyBorder="1" applyAlignment="1">
      <alignment horizontal="center" vertical="center"/>
    </xf>
    <xf numFmtId="9" fontId="35" fillId="25" borderId="11" xfId="40" applyFont="1" applyFill="1" applyBorder="1" applyAlignment="1" applyProtection="1">
      <alignment horizontal="center" vertical="center"/>
    </xf>
    <xf numFmtId="0" fontId="30" fillId="26" borderId="10" xfId="0" applyFont="1" applyFill="1" applyBorder="1" applyAlignment="1">
      <alignment horizontal="left" vertical="center"/>
    </xf>
    <xf numFmtId="0" fontId="30" fillId="24" borderId="10" xfId="0" applyFont="1" applyFill="1" applyBorder="1" applyAlignment="1">
      <alignment horizontal="left" vertical="center"/>
    </xf>
    <xf numFmtId="0" fontId="37" fillId="0" borderId="14" xfId="0" applyFont="1" applyBorder="1" applyAlignment="1">
      <alignment horizontal="center" vertical="center"/>
    </xf>
    <xf numFmtId="0" fontId="37" fillId="0" borderId="12" xfId="0" applyFont="1" applyBorder="1" applyAlignment="1">
      <alignment horizontal="center" vertical="center"/>
    </xf>
    <xf numFmtId="0" fontId="37"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0" fontId="45" fillId="0" borderId="0" xfId="34" applyFont="1" applyBorder="1" applyAlignment="1" applyProtection="1">
      <alignment horizontal="left" vertical="center"/>
    </xf>
    <xf numFmtId="0" fontId="44" fillId="0" borderId="0" xfId="34" applyFont="1" applyBorder="1" applyAlignment="1" applyProtection="1">
      <alignment horizontal="left" vertical="center"/>
    </xf>
    <xf numFmtId="164" fontId="33" fillId="0" borderId="20"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CC99"/>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ctrlProps/ctrlProp1.xml><?xml version="1.0" encoding="utf-8"?>
<formControlPr xmlns="http://schemas.microsoft.com/office/spreadsheetml/2009/9/main" objectType="Scroll" dx="22" fmlaLink="$H$4" horiz="1" max="100" min="1" page="0" val="0"/>
</file>

<file path=xl/drawings/drawing1.xml><?xml version="1.0" encoding="utf-8"?>
<xdr:wsDr xmlns:xdr="http://schemas.openxmlformats.org/drawingml/2006/spreadsheetDrawing" xmlns:a="http://schemas.openxmlformats.org/drawingml/2006/main">
  <xdr:twoCellAnchor editAs="absolute">
    <xdr:from>
      <xdr:col>8</xdr:col>
      <xdr:colOff>19050</xdr:colOff>
      <xdr:row>5</xdr:row>
      <xdr:rowOff>142875</xdr:rowOff>
    </xdr:from>
    <xdr:to>
      <xdr:col>27</xdr:col>
      <xdr:colOff>19050</xdr:colOff>
      <xdr:row>9</xdr:row>
      <xdr:rowOff>194733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121920</xdr:rowOff>
        </xdr:from>
        <xdr:to>
          <xdr:col>27</xdr:col>
          <xdr:colOff>83820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solidFill>
              <a:srgbClr val="FFFFFF"/>
            </a:solidFill>
            <a:ln w="9525">
              <a:solidFill>
                <a:srgbClr val="000000" mc:Ignorable="a14" a14:legacySpreadsheetColorIndex="64"/>
              </a:solidFill>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 /><Relationship Id="rId2" Type="http://schemas.openxmlformats.org/officeDocument/2006/relationships/printerSettings" Target="../printerSettings/printerSettings1.bin" /><Relationship Id="rId1" Type="http://schemas.openxmlformats.org/officeDocument/2006/relationships/hyperlink" Target="https://www.vertex42.com/ExcelTemplates/excel-gantt-chart.html" TargetMode="External" /><Relationship Id="rId6" Type="http://schemas.openxmlformats.org/officeDocument/2006/relationships/comments" Target="../comments1.xml" /><Relationship Id="rId5" Type="http://schemas.openxmlformats.org/officeDocument/2006/relationships/ctrlProp" Target="../ctrlProps/ctrlProp1.xml" /><Relationship Id="rId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7"/>
  <sheetViews>
    <sheetView showGridLines="0" tabSelected="1" zoomScale="85" zoomScaleNormal="100" workbookViewId="0">
      <pane ySplit="7" topLeftCell="A8" activePane="bottomLeft" state="frozen"/>
      <selection pane="bottomLeft" activeCell="AB16" sqref="AB16"/>
    </sheetView>
  </sheetViews>
  <sheetFormatPr defaultColWidth="9.16796875" defaultRowHeight="12.75" x14ac:dyDescent="0.15"/>
  <cols>
    <col min="1" max="1" width="6.875" customWidth="1"/>
    <col min="2" max="2" width="19.01171875" customWidth="1"/>
    <col min="3" max="3" width="11.0546875" customWidth="1"/>
    <col min="4" max="4" width="2.01953125" hidden="1" customWidth="1"/>
    <col min="5" max="5" width="12" customWidth="1"/>
    <col min="6" max="6" width="6.3359375" customWidth="1"/>
    <col min="7" max="7" width="12" customWidth="1"/>
    <col min="8" max="8" width="6.60546875" customWidth="1"/>
    <col min="9" max="9" width="7.8203125" customWidth="1"/>
    <col min="10" max="10" width="1.88671875" customWidth="1"/>
    <col min="11" max="14" width="2.42578125" customWidth="1"/>
    <col min="15" max="15" width="2.6953125" bestFit="1" customWidth="1"/>
    <col min="16" max="66" width="2.42578125" customWidth="1"/>
  </cols>
  <sheetData>
    <row r="1" spans="1:66" ht="30" customHeight="1" x14ac:dyDescent="0.15">
      <c r="A1" s="56" t="s">
        <v>16</v>
      </c>
      <c r="B1" s="5"/>
      <c r="C1" s="5"/>
      <c r="D1" s="5"/>
      <c r="E1" s="5"/>
      <c r="G1" s="5"/>
      <c r="I1" s="61"/>
      <c r="K1" s="76" t="s">
        <v>14</v>
      </c>
      <c r="L1" s="77"/>
      <c r="M1" s="77"/>
      <c r="N1" s="77"/>
      <c r="O1" s="77"/>
      <c r="P1" s="77"/>
      <c r="Q1" s="77"/>
      <c r="R1" s="77"/>
      <c r="S1" s="77"/>
      <c r="T1" s="77"/>
      <c r="U1" s="77"/>
      <c r="V1" s="77"/>
      <c r="W1" s="77"/>
      <c r="X1" s="77"/>
      <c r="Y1" s="77"/>
      <c r="Z1" s="77"/>
      <c r="AA1" s="77"/>
      <c r="AB1" s="77"/>
      <c r="AC1" s="77"/>
      <c r="AD1" s="77"/>
      <c r="AE1" s="77"/>
    </row>
    <row r="2" spans="1:66" ht="18" customHeight="1" x14ac:dyDescent="0.15">
      <c r="A2" s="8" t="s">
        <v>15</v>
      </c>
      <c r="B2" s="2"/>
      <c r="C2" s="2"/>
      <c r="D2" s="4"/>
      <c r="E2" s="62"/>
      <c r="G2" s="62"/>
      <c r="H2" s="1"/>
    </row>
    <row r="3" spans="1:66" ht="13.5" x14ac:dyDescent="0.15">
      <c r="A3" s="8"/>
      <c r="B3" s="6"/>
      <c r="H3" s="1"/>
      <c r="K3" s="3"/>
      <c r="L3" s="3"/>
      <c r="M3" s="3"/>
      <c r="N3" s="3"/>
      <c r="O3" s="3"/>
      <c r="P3" s="3"/>
      <c r="Q3" s="3"/>
      <c r="R3" s="3"/>
      <c r="S3" s="3"/>
      <c r="T3" s="3"/>
      <c r="U3" s="3"/>
      <c r="V3" s="3"/>
      <c r="W3" s="3"/>
      <c r="X3" s="3"/>
      <c r="Y3" s="3"/>
      <c r="Z3" s="3"/>
      <c r="AA3" s="3"/>
    </row>
    <row r="4" spans="1:66" ht="17.25" customHeight="1" x14ac:dyDescent="0.15">
      <c r="A4" s="46"/>
      <c r="B4" s="47" t="s">
        <v>9</v>
      </c>
      <c r="C4" s="78">
        <v>45943</v>
      </c>
      <c r="D4" s="78"/>
      <c r="E4" s="78"/>
      <c r="F4" s="47" t="s">
        <v>8</v>
      </c>
      <c r="G4" s="46"/>
      <c r="H4" s="60">
        <v>1</v>
      </c>
      <c r="I4" s="6"/>
      <c r="J4" s="7"/>
      <c r="K4" s="70" t="str">
        <f>"Week "&amp;(K6-($C$4-WEEKDAY($C$4,1)+2))/7+1</f>
        <v>Week 1</v>
      </c>
      <c r="L4" s="71"/>
      <c r="M4" s="71"/>
      <c r="N4" s="71"/>
      <c r="O4" s="71"/>
      <c r="P4" s="71"/>
      <c r="Q4" s="72"/>
      <c r="R4" s="70" t="str">
        <f>"Week "&amp;(R6-($C$4-WEEKDAY($C$4,1)+2))/7+1</f>
        <v>Week 2</v>
      </c>
      <c r="S4" s="71"/>
      <c r="T4" s="71"/>
      <c r="U4" s="71"/>
      <c r="V4" s="71"/>
      <c r="W4" s="71"/>
      <c r="X4" s="72"/>
      <c r="Y4" s="70" t="str">
        <f>"Week "&amp;(Y6-($C$4-WEEKDAY($C$4,1)+2))/7+1</f>
        <v>Week 3</v>
      </c>
      <c r="Z4" s="71"/>
      <c r="AA4" s="71"/>
      <c r="AB4" s="71"/>
      <c r="AC4" s="71"/>
      <c r="AD4" s="71"/>
      <c r="AE4" s="72"/>
      <c r="AF4" s="70" t="str">
        <f>"Week "&amp;(AF6-($C$4-WEEKDAY($C$4,1)+2))/7+1</f>
        <v>Week 4</v>
      </c>
      <c r="AG4" s="71"/>
      <c r="AH4" s="71"/>
      <c r="AI4" s="71"/>
      <c r="AJ4" s="71"/>
      <c r="AK4" s="71"/>
      <c r="AL4" s="72"/>
      <c r="AM4" s="70" t="str">
        <f>"Week "&amp;(AM6-($C$4-WEEKDAY($C$4,1)+2))/7+1</f>
        <v>Week 5</v>
      </c>
      <c r="AN4" s="71"/>
      <c r="AO4" s="71"/>
      <c r="AP4" s="71"/>
      <c r="AQ4" s="71"/>
      <c r="AR4" s="71"/>
      <c r="AS4" s="72"/>
      <c r="AT4" s="70" t="str">
        <f>"Week "&amp;(AT6-($C$4-WEEKDAY($C$4,1)+2))/7+1</f>
        <v>Week 6</v>
      </c>
      <c r="AU4" s="71"/>
      <c r="AV4" s="71"/>
      <c r="AW4" s="71"/>
      <c r="AX4" s="71"/>
      <c r="AY4" s="71"/>
      <c r="AZ4" s="72"/>
      <c r="BA4" s="70" t="str">
        <f>"Week "&amp;(BA6-($C$4-WEEKDAY($C$4,1)+2))/7+1</f>
        <v>Week 7</v>
      </c>
      <c r="BB4" s="71"/>
      <c r="BC4" s="71"/>
      <c r="BD4" s="71"/>
      <c r="BE4" s="71"/>
      <c r="BF4" s="71"/>
      <c r="BG4" s="72"/>
      <c r="BH4" s="70" t="str">
        <f>"Week "&amp;(BH6-($C$4-WEEKDAY($C$4,1)+2))/7+1</f>
        <v>Week 8</v>
      </c>
      <c r="BI4" s="71"/>
      <c r="BJ4" s="71"/>
      <c r="BK4" s="71"/>
      <c r="BL4" s="71"/>
      <c r="BM4" s="71"/>
      <c r="BN4" s="72"/>
    </row>
    <row r="5" spans="1:66" ht="17.25" customHeight="1" x14ac:dyDescent="0.15">
      <c r="A5" s="46"/>
      <c r="B5" s="47" t="s">
        <v>10</v>
      </c>
      <c r="C5" s="63" t="s">
        <v>17</v>
      </c>
      <c r="D5" s="63"/>
      <c r="E5" s="63" t="s">
        <v>18</v>
      </c>
      <c r="F5" s="64" t="s">
        <v>19</v>
      </c>
      <c r="G5" s="63" t="s">
        <v>20</v>
      </c>
      <c r="H5" s="64"/>
      <c r="I5" s="46"/>
      <c r="J5" s="7"/>
      <c r="K5" s="73">
        <f>K6</f>
        <v>45943</v>
      </c>
      <c r="L5" s="74"/>
      <c r="M5" s="74"/>
      <c r="N5" s="74"/>
      <c r="O5" s="74"/>
      <c r="P5" s="74"/>
      <c r="Q5" s="75"/>
      <c r="R5" s="73">
        <f>R6</f>
        <v>45950</v>
      </c>
      <c r="S5" s="74"/>
      <c r="T5" s="74"/>
      <c r="U5" s="74"/>
      <c r="V5" s="74"/>
      <c r="W5" s="74"/>
      <c r="X5" s="75"/>
      <c r="Y5" s="73">
        <f>Y6</f>
        <v>45957</v>
      </c>
      <c r="Z5" s="74"/>
      <c r="AA5" s="74"/>
      <c r="AB5" s="74"/>
      <c r="AC5" s="74"/>
      <c r="AD5" s="74"/>
      <c r="AE5" s="75"/>
      <c r="AF5" s="73">
        <f>AF6</f>
        <v>45964</v>
      </c>
      <c r="AG5" s="74"/>
      <c r="AH5" s="74"/>
      <c r="AI5" s="74"/>
      <c r="AJ5" s="74"/>
      <c r="AK5" s="74"/>
      <c r="AL5" s="75"/>
      <c r="AM5" s="73">
        <f>AM6</f>
        <v>45971</v>
      </c>
      <c r="AN5" s="74"/>
      <c r="AO5" s="74"/>
      <c r="AP5" s="74"/>
      <c r="AQ5" s="74"/>
      <c r="AR5" s="74"/>
      <c r="AS5" s="75"/>
      <c r="AT5" s="73">
        <f>AT6</f>
        <v>45978</v>
      </c>
      <c r="AU5" s="74"/>
      <c r="AV5" s="74"/>
      <c r="AW5" s="74"/>
      <c r="AX5" s="74"/>
      <c r="AY5" s="74"/>
      <c r="AZ5" s="75"/>
      <c r="BA5" s="73">
        <f>BA6</f>
        <v>45985</v>
      </c>
      <c r="BB5" s="74"/>
      <c r="BC5" s="74"/>
      <c r="BD5" s="74"/>
      <c r="BE5" s="74"/>
      <c r="BF5" s="74"/>
      <c r="BG5" s="75"/>
      <c r="BH5" s="73">
        <f>BH6</f>
        <v>45992</v>
      </c>
      <c r="BI5" s="74"/>
      <c r="BJ5" s="74"/>
      <c r="BK5" s="74"/>
      <c r="BL5" s="74"/>
      <c r="BM5" s="74"/>
      <c r="BN5" s="75"/>
    </row>
    <row r="6" spans="1:66" x14ac:dyDescent="0.15">
      <c r="A6" s="7"/>
      <c r="B6" s="7"/>
      <c r="C6" s="7"/>
      <c r="D6" s="7"/>
      <c r="E6" s="7"/>
      <c r="F6" s="7"/>
      <c r="G6" s="7"/>
      <c r="H6" s="7"/>
      <c r="I6" s="7"/>
      <c r="J6" s="7"/>
      <c r="K6" s="34">
        <f>C4-WEEKDAY(C4,1)+2+7*(H4-1)</f>
        <v>45943</v>
      </c>
      <c r="L6" s="25">
        <f t="shared" ref="L6:AQ6" si="0">K6+1</f>
        <v>45944</v>
      </c>
      <c r="M6" s="25">
        <f t="shared" si="0"/>
        <v>45945</v>
      </c>
      <c r="N6" s="25">
        <f t="shared" si="0"/>
        <v>45946</v>
      </c>
      <c r="O6" s="25">
        <f t="shared" si="0"/>
        <v>45947</v>
      </c>
      <c r="P6" s="25">
        <f t="shared" si="0"/>
        <v>45948</v>
      </c>
      <c r="Q6" s="35">
        <f t="shared" si="0"/>
        <v>45949</v>
      </c>
      <c r="R6" s="34">
        <f t="shared" si="0"/>
        <v>45950</v>
      </c>
      <c r="S6" s="25">
        <f t="shared" si="0"/>
        <v>45951</v>
      </c>
      <c r="T6" s="25">
        <f t="shared" si="0"/>
        <v>45952</v>
      </c>
      <c r="U6" s="25">
        <f t="shared" si="0"/>
        <v>45953</v>
      </c>
      <c r="V6" s="25">
        <f t="shared" si="0"/>
        <v>45954</v>
      </c>
      <c r="W6" s="25">
        <f t="shared" si="0"/>
        <v>45955</v>
      </c>
      <c r="X6" s="35">
        <f t="shared" si="0"/>
        <v>45956</v>
      </c>
      <c r="Y6" s="34">
        <f t="shared" si="0"/>
        <v>45957</v>
      </c>
      <c r="Z6" s="25">
        <f t="shared" si="0"/>
        <v>45958</v>
      </c>
      <c r="AA6" s="25">
        <f t="shared" si="0"/>
        <v>45959</v>
      </c>
      <c r="AB6" s="25">
        <f t="shared" si="0"/>
        <v>45960</v>
      </c>
      <c r="AC6" s="25">
        <f t="shared" si="0"/>
        <v>45961</v>
      </c>
      <c r="AD6" s="25">
        <f t="shared" si="0"/>
        <v>45962</v>
      </c>
      <c r="AE6" s="35">
        <f t="shared" si="0"/>
        <v>45963</v>
      </c>
      <c r="AF6" s="34">
        <f t="shared" si="0"/>
        <v>45964</v>
      </c>
      <c r="AG6" s="25">
        <f t="shared" si="0"/>
        <v>45965</v>
      </c>
      <c r="AH6" s="25">
        <f t="shared" si="0"/>
        <v>45966</v>
      </c>
      <c r="AI6" s="25">
        <f t="shared" si="0"/>
        <v>45967</v>
      </c>
      <c r="AJ6" s="25">
        <f t="shared" si="0"/>
        <v>45968</v>
      </c>
      <c r="AK6" s="25">
        <f t="shared" si="0"/>
        <v>45969</v>
      </c>
      <c r="AL6" s="35">
        <f t="shared" si="0"/>
        <v>45970</v>
      </c>
      <c r="AM6" s="34">
        <f t="shared" si="0"/>
        <v>45971</v>
      </c>
      <c r="AN6" s="25">
        <f t="shared" si="0"/>
        <v>45972</v>
      </c>
      <c r="AO6" s="25">
        <f t="shared" si="0"/>
        <v>45973</v>
      </c>
      <c r="AP6" s="25">
        <f t="shared" si="0"/>
        <v>45974</v>
      </c>
      <c r="AQ6" s="25">
        <f t="shared" si="0"/>
        <v>45975</v>
      </c>
      <c r="AR6" s="25">
        <f t="shared" ref="AR6:BN6" si="1">AQ6+1</f>
        <v>45976</v>
      </c>
      <c r="AS6" s="35">
        <f t="shared" si="1"/>
        <v>45977</v>
      </c>
      <c r="AT6" s="34">
        <f t="shared" si="1"/>
        <v>45978</v>
      </c>
      <c r="AU6" s="25">
        <f t="shared" si="1"/>
        <v>45979</v>
      </c>
      <c r="AV6" s="25">
        <f t="shared" si="1"/>
        <v>45980</v>
      </c>
      <c r="AW6" s="25">
        <f t="shared" si="1"/>
        <v>45981</v>
      </c>
      <c r="AX6" s="25">
        <f t="shared" si="1"/>
        <v>45982</v>
      </c>
      <c r="AY6" s="25">
        <f t="shared" si="1"/>
        <v>45983</v>
      </c>
      <c r="AZ6" s="35">
        <f t="shared" si="1"/>
        <v>45984</v>
      </c>
      <c r="BA6" s="34">
        <f t="shared" si="1"/>
        <v>45985</v>
      </c>
      <c r="BB6" s="25">
        <f t="shared" si="1"/>
        <v>45986</v>
      </c>
      <c r="BC6" s="25">
        <f t="shared" si="1"/>
        <v>45987</v>
      </c>
      <c r="BD6" s="25">
        <f t="shared" si="1"/>
        <v>45988</v>
      </c>
      <c r="BE6" s="25">
        <f t="shared" si="1"/>
        <v>45989</v>
      </c>
      <c r="BF6" s="25">
        <f t="shared" si="1"/>
        <v>45990</v>
      </c>
      <c r="BG6" s="35">
        <f t="shared" si="1"/>
        <v>45991</v>
      </c>
      <c r="BH6" s="34">
        <f t="shared" si="1"/>
        <v>45992</v>
      </c>
      <c r="BI6" s="25">
        <f t="shared" si="1"/>
        <v>45993</v>
      </c>
      <c r="BJ6" s="25">
        <f t="shared" si="1"/>
        <v>45994</v>
      </c>
      <c r="BK6" s="25">
        <f t="shared" si="1"/>
        <v>45995</v>
      </c>
      <c r="BL6" s="25">
        <f t="shared" si="1"/>
        <v>45996</v>
      </c>
      <c r="BM6" s="25">
        <f t="shared" si="1"/>
        <v>45997</v>
      </c>
      <c r="BN6" s="35">
        <f t="shared" si="1"/>
        <v>45998</v>
      </c>
    </row>
    <row r="7" spans="1:66" s="6" customFormat="1" ht="22.5" customHeight="1" thickBot="1" x14ac:dyDescent="0.2">
      <c r="A7" s="49" t="s">
        <v>0</v>
      </c>
      <c r="B7" s="49" t="s">
        <v>1</v>
      </c>
      <c r="C7" s="50" t="s">
        <v>13</v>
      </c>
      <c r="D7" s="51" t="s">
        <v>7</v>
      </c>
      <c r="E7" s="52" t="s">
        <v>2</v>
      </c>
      <c r="F7" s="50" t="s">
        <v>4</v>
      </c>
      <c r="G7" s="52" t="s">
        <v>3</v>
      </c>
      <c r="H7" s="50" t="s">
        <v>5</v>
      </c>
      <c r="I7" s="50" t="s">
        <v>6</v>
      </c>
      <c r="J7" s="50"/>
      <c r="K7" s="53" t="str">
        <f t="shared" ref="K7:AP7" si="2">CHOOSE(WEEKDAY(K6,1),"S","M","T","W","T","F","S")</f>
        <v>M</v>
      </c>
      <c r="L7" s="54" t="str">
        <f t="shared" si="2"/>
        <v>T</v>
      </c>
      <c r="M7" s="54" t="str">
        <f t="shared" si="2"/>
        <v>W</v>
      </c>
      <c r="N7" s="54" t="str">
        <f t="shared" si="2"/>
        <v>T</v>
      </c>
      <c r="O7" s="54" t="str">
        <f t="shared" si="2"/>
        <v>F</v>
      </c>
      <c r="P7" s="54" t="str">
        <f t="shared" si="2"/>
        <v>S</v>
      </c>
      <c r="Q7" s="55" t="str">
        <f t="shared" si="2"/>
        <v>S</v>
      </c>
      <c r="R7" s="53" t="str">
        <f t="shared" si="2"/>
        <v>M</v>
      </c>
      <c r="S7" s="54" t="str">
        <f t="shared" si="2"/>
        <v>T</v>
      </c>
      <c r="T7" s="54" t="str">
        <f t="shared" si="2"/>
        <v>W</v>
      </c>
      <c r="U7" s="54" t="str">
        <f t="shared" si="2"/>
        <v>T</v>
      </c>
      <c r="V7" s="54" t="str">
        <f t="shared" si="2"/>
        <v>F</v>
      </c>
      <c r="W7" s="54" t="str">
        <f t="shared" si="2"/>
        <v>S</v>
      </c>
      <c r="X7" s="55" t="str">
        <f t="shared" si="2"/>
        <v>S</v>
      </c>
      <c r="Y7" s="53" t="str">
        <f t="shared" si="2"/>
        <v>M</v>
      </c>
      <c r="Z7" s="54" t="str">
        <f t="shared" si="2"/>
        <v>T</v>
      </c>
      <c r="AA7" s="54" t="str">
        <f t="shared" si="2"/>
        <v>W</v>
      </c>
      <c r="AB7" s="54" t="str">
        <f t="shared" si="2"/>
        <v>T</v>
      </c>
      <c r="AC7" s="54" t="str">
        <f t="shared" si="2"/>
        <v>F</v>
      </c>
      <c r="AD7" s="54" t="str">
        <f t="shared" si="2"/>
        <v>S</v>
      </c>
      <c r="AE7" s="55" t="str">
        <f t="shared" si="2"/>
        <v>S</v>
      </c>
      <c r="AF7" s="53" t="str">
        <f t="shared" si="2"/>
        <v>M</v>
      </c>
      <c r="AG7" s="54" t="str">
        <f t="shared" si="2"/>
        <v>T</v>
      </c>
      <c r="AH7" s="54" t="str">
        <f t="shared" si="2"/>
        <v>W</v>
      </c>
      <c r="AI7" s="54" t="str">
        <f t="shared" si="2"/>
        <v>T</v>
      </c>
      <c r="AJ7" s="54" t="str">
        <f t="shared" si="2"/>
        <v>F</v>
      </c>
      <c r="AK7" s="54" t="str">
        <f t="shared" si="2"/>
        <v>S</v>
      </c>
      <c r="AL7" s="55" t="str">
        <f t="shared" si="2"/>
        <v>S</v>
      </c>
      <c r="AM7" s="53" t="str">
        <f t="shared" si="2"/>
        <v>M</v>
      </c>
      <c r="AN7" s="54" t="str">
        <f t="shared" si="2"/>
        <v>T</v>
      </c>
      <c r="AO7" s="54" t="str">
        <f t="shared" si="2"/>
        <v>W</v>
      </c>
      <c r="AP7" s="54" t="str">
        <f t="shared" si="2"/>
        <v>T</v>
      </c>
      <c r="AQ7" s="54" t="str">
        <f t="shared" ref="AQ7:BN7" si="3">CHOOSE(WEEKDAY(AQ6,1),"S","M","T","W","T","F","S")</f>
        <v>F</v>
      </c>
      <c r="AR7" s="54" t="str">
        <f t="shared" si="3"/>
        <v>S</v>
      </c>
      <c r="AS7" s="55" t="str">
        <f t="shared" si="3"/>
        <v>S</v>
      </c>
      <c r="AT7" s="53" t="str">
        <f t="shared" si="3"/>
        <v>M</v>
      </c>
      <c r="AU7" s="54" t="str">
        <f t="shared" si="3"/>
        <v>T</v>
      </c>
      <c r="AV7" s="54" t="str">
        <f t="shared" si="3"/>
        <v>W</v>
      </c>
      <c r="AW7" s="54" t="str">
        <f t="shared" si="3"/>
        <v>T</v>
      </c>
      <c r="AX7" s="54" t="str">
        <f t="shared" si="3"/>
        <v>F</v>
      </c>
      <c r="AY7" s="54" t="str">
        <f t="shared" si="3"/>
        <v>S</v>
      </c>
      <c r="AZ7" s="55" t="str">
        <f t="shared" si="3"/>
        <v>S</v>
      </c>
      <c r="BA7" s="53" t="str">
        <f t="shared" si="3"/>
        <v>M</v>
      </c>
      <c r="BB7" s="54" t="str">
        <f t="shared" si="3"/>
        <v>T</v>
      </c>
      <c r="BC7" s="54" t="str">
        <f t="shared" si="3"/>
        <v>W</v>
      </c>
      <c r="BD7" s="54" t="str">
        <f t="shared" si="3"/>
        <v>T</v>
      </c>
      <c r="BE7" s="54" t="str">
        <f t="shared" si="3"/>
        <v>F</v>
      </c>
      <c r="BF7" s="54" t="str">
        <f t="shared" si="3"/>
        <v>S</v>
      </c>
      <c r="BG7" s="55" t="str">
        <f t="shared" si="3"/>
        <v>S</v>
      </c>
      <c r="BH7" s="53" t="str">
        <f t="shared" si="3"/>
        <v>M</v>
      </c>
      <c r="BI7" s="54" t="str">
        <f t="shared" si="3"/>
        <v>T</v>
      </c>
      <c r="BJ7" s="54" t="str">
        <f t="shared" si="3"/>
        <v>W</v>
      </c>
      <c r="BK7" s="54" t="str">
        <f t="shared" si="3"/>
        <v>T</v>
      </c>
      <c r="BL7" s="54" t="str">
        <f t="shared" si="3"/>
        <v>F</v>
      </c>
      <c r="BM7" s="54" t="str">
        <f t="shared" si="3"/>
        <v>S</v>
      </c>
      <c r="BN7" s="55" t="str">
        <f t="shared" si="3"/>
        <v>S</v>
      </c>
    </row>
    <row r="8" spans="1:66" s="11" customFormat="1" ht="18" x14ac:dyDescent="0.15">
      <c r="A8" s="26" t="str">
        <f ca="1">IF(ISERROR(VALUE(SUBSTITUTE(prevWBS,".",""))),"1",IF(ISERROR(FIND("`",SUBSTITUTE(prevWBS,".","`",1))),TEXT(VALUE(prevWBS)+1,"#"),TEXT(VALUE(LEFT(prevWBS,FIND("`",SUBSTITUTE(prevWBS,".","`",1))-1))+1,"#")))</f>
        <v>1</v>
      </c>
      <c r="B8" s="27" t="s">
        <v>11</v>
      </c>
      <c r="C8" s="28"/>
      <c r="D8" s="29"/>
      <c r="E8" s="30"/>
      <c r="F8" s="31"/>
      <c r="G8" s="48" t="str">
        <f>IF(ISBLANK(E8)," - ",IF(F8=0,E8,E8+F8-1))</f>
        <v xml:space="preserve"> - </v>
      </c>
      <c r="H8" s="32"/>
      <c r="I8" s="33" t="str">
        <f t="shared" ref="I8:I27" si="4">IF(OR(G8=0,E8=0)," - ",NETWORKDAYS(E8,G8))</f>
        <v xml:space="preserve"> - </v>
      </c>
      <c r="J8" s="36"/>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7" customFormat="1" ht="21.75" x14ac:dyDescent="0.15">
      <c r="A9" s="16" t="str">
        <f t="shared" ref="A9:A17" ca="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7" t="s">
        <v>21</v>
      </c>
      <c r="C9" s="17" t="s">
        <v>22</v>
      </c>
      <c r="D9" s="58"/>
      <c r="E9" s="40">
        <v>45943</v>
      </c>
      <c r="F9" s="66">
        <v>6</v>
      </c>
      <c r="G9" s="65">
        <f>IF(ISBLANK(E9)," - ",IF(F9=0,E9,E9+F9-1))</f>
        <v>45948</v>
      </c>
      <c r="H9" s="67">
        <v>1</v>
      </c>
      <c r="I9" s="18">
        <f t="shared" si="4"/>
        <v>5</v>
      </c>
      <c r="J9" s="37"/>
      <c r="K9" s="16"/>
      <c r="L9" s="16"/>
      <c r="M9" s="68"/>
      <c r="N9" s="68"/>
      <c r="O9" s="68"/>
      <c r="P9" s="68"/>
      <c r="Q9" s="69"/>
      <c r="R9" s="69"/>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8" x14ac:dyDescent="0.15">
      <c r="A10" s="16" t="str">
        <f t="shared" ca="1" si="5"/>
        <v>1.2</v>
      </c>
      <c r="B10" s="57" t="s">
        <v>23</v>
      </c>
      <c r="C10" s="17" t="s">
        <v>24</v>
      </c>
      <c r="D10" s="58"/>
      <c r="E10" s="40">
        <v>45949</v>
      </c>
      <c r="F10" s="66">
        <v>2</v>
      </c>
      <c r="G10" s="65">
        <f t="shared" ref="G10:G17" si="6">IF(ISBLANK(E10)," - ",IF(F10=0,E10,E10+F10-1))</f>
        <v>45950</v>
      </c>
      <c r="H10" s="67">
        <v>0.6</v>
      </c>
      <c r="I10" s="18">
        <f t="shared" si="4"/>
        <v>1</v>
      </c>
      <c r="J10" s="37"/>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21.75" x14ac:dyDescent="0.15">
      <c r="A11" s="16" t="str">
        <f t="shared" ca="1" si="5"/>
        <v>1.3</v>
      </c>
      <c r="B11" s="57" t="s">
        <v>25</v>
      </c>
      <c r="C11" s="17" t="s">
        <v>26</v>
      </c>
      <c r="D11" s="58"/>
      <c r="E11" s="40">
        <v>45951</v>
      </c>
      <c r="F11" s="66">
        <v>7</v>
      </c>
      <c r="G11" s="65">
        <f t="shared" si="6"/>
        <v>45957</v>
      </c>
      <c r="H11" s="67">
        <v>1</v>
      </c>
      <c r="I11" s="18">
        <f t="shared" si="4"/>
        <v>5</v>
      </c>
      <c r="J11" s="37"/>
      <c r="K11" s="16"/>
      <c r="L11" s="16"/>
      <c r="M11" s="44"/>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7" customFormat="1" ht="21.75" x14ac:dyDescent="0.15">
      <c r="A12" s="16" t="str">
        <f t="shared" ca="1" si="5"/>
        <v>1.4</v>
      </c>
      <c r="B12" s="57" t="s">
        <v>27</v>
      </c>
      <c r="C12" s="17" t="s">
        <v>29</v>
      </c>
      <c r="D12" s="58"/>
      <c r="E12" s="40">
        <v>45960</v>
      </c>
      <c r="F12" s="66">
        <v>10</v>
      </c>
      <c r="G12" s="65">
        <f t="shared" si="6"/>
        <v>45969</v>
      </c>
      <c r="H12" s="67">
        <v>0.75</v>
      </c>
      <c r="I12" s="18">
        <f t="shared" si="4"/>
        <v>7</v>
      </c>
      <c r="J12" s="37"/>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s="17" customFormat="1" ht="21.75" x14ac:dyDescent="0.15">
      <c r="A13" s="16"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59" t="s">
        <v>30</v>
      </c>
      <c r="C13" s="17" t="s">
        <v>24</v>
      </c>
      <c r="D13" s="58"/>
      <c r="E13" s="40">
        <v>45974</v>
      </c>
      <c r="F13" s="66">
        <v>3</v>
      </c>
      <c r="G13" s="65">
        <f t="shared" si="6"/>
        <v>45976</v>
      </c>
      <c r="H13" s="67">
        <v>0.5</v>
      </c>
      <c r="I13" s="18">
        <f t="shared" si="4"/>
        <v>2</v>
      </c>
      <c r="J13" s="37"/>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8" x14ac:dyDescent="0.15">
      <c r="A14" s="16"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59" t="s">
        <v>31</v>
      </c>
      <c r="C14" s="17" t="s">
        <v>24</v>
      </c>
      <c r="D14" s="58"/>
      <c r="E14" s="40">
        <v>45979</v>
      </c>
      <c r="F14" s="66">
        <v>2</v>
      </c>
      <c r="G14" s="65">
        <f t="shared" si="6"/>
        <v>45980</v>
      </c>
      <c r="H14" s="67">
        <v>0.5</v>
      </c>
      <c r="I14" s="18">
        <f t="shared" si="4"/>
        <v>2</v>
      </c>
      <c r="J14" s="37"/>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21.75" x14ac:dyDescent="0.15">
      <c r="A15" s="16" t="str">
        <f t="shared" ca="1" si="5"/>
        <v>1.5</v>
      </c>
      <c r="B15" s="57" t="s">
        <v>32</v>
      </c>
      <c r="C15" s="17" t="s">
        <v>36</v>
      </c>
      <c r="D15" s="58"/>
      <c r="E15" s="40">
        <v>45983</v>
      </c>
      <c r="F15" s="66">
        <v>14</v>
      </c>
      <c r="G15" s="65">
        <f t="shared" si="6"/>
        <v>45996</v>
      </c>
      <c r="H15" s="67">
        <v>0.3</v>
      </c>
      <c r="I15" s="18">
        <f t="shared" si="4"/>
        <v>10</v>
      </c>
      <c r="J15" s="37"/>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21.75" x14ac:dyDescent="0.15">
      <c r="A16" s="16" t="str">
        <f t="shared" ca="1" si="5"/>
        <v>1.6</v>
      </c>
      <c r="B16" s="57" t="s">
        <v>34</v>
      </c>
      <c r="C16" s="17" t="s">
        <v>33</v>
      </c>
      <c r="D16" s="58"/>
      <c r="E16" s="40">
        <v>45998</v>
      </c>
      <c r="F16" s="66">
        <v>5</v>
      </c>
      <c r="G16" s="65">
        <f t="shared" si="6"/>
        <v>46002</v>
      </c>
      <c r="H16" s="67">
        <v>1</v>
      </c>
      <c r="I16" s="18">
        <f t="shared" si="4"/>
        <v>4</v>
      </c>
      <c r="J16" s="37"/>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7" customFormat="1" ht="21.75" x14ac:dyDescent="0.15">
      <c r="A17" s="16" t="str">
        <f t="shared" ca="1" si="5"/>
        <v>1.7</v>
      </c>
      <c r="B17" s="57" t="s">
        <v>35</v>
      </c>
      <c r="C17" s="17" t="s">
        <v>33</v>
      </c>
      <c r="D17" s="58"/>
      <c r="E17" s="40">
        <v>45996</v>
      </c>
      <c r="F17" s="66">
        <v>2</v>
      </c>
      <c r="G17" s="65">
        <f t="shared" si="6"/>
        <v>45997</v>
      </c>
      <c r="H17" s="67">
        <v>0</v>
      </c>
      <c r="I17" s="18">
        <f t="shared" si="4"/>
        <v>1</v>
      </c>
      <c r="J17" s="37"/>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1" customFormat="1" ht="18" x14ac:dyDescent="0.15">
      <c r="A18" s="9" t="str">
        <f ca="1">IF(ISERROR(VALUE(SUBSTITUTE(prevWBS,".",""))),"1",IF(ISERROR(FIND("`",SUBSTITUTE(prevWBS,".","`",1))),TEXT(VALUE(prevWBS)+1,"#"),TEXT(VALUE(LEFT(prevWBS,FIND("`",SUBSTITUTE(prevWBS,".","`",1))-1))+1,"#")))</f>
        <v>2</v>
      </c>
      <c r="B18" s="10" t="s">
        <v>12</v>
      </c>
      <c r="D18" s="12"/>
      <c r="E18" s="41"/>
      <c r="F18" s="13"/>
      <c r="G18" s="41" t="str">
        <f t="shared" ref="G18:G25" si="7">IF(ISBLANK(E18)," - ",IF(F18=0,E18,E18+F18-1))</f>
        <v xml:space="preserve"> - </v>
      </c>
      <c r="H18" s="14"/>
      <c r="I18" s="15" t="str">
        <f t="shared" si="4"/>
        <v xml:space="preserve"> - </v>
      </c>
      <c r="J18" s="38"/>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row>
    <row r="19" spans="1:66" s="17" customFormat="1" ht="21.75" x14ac:dyDescent="0.15">
      <c r="A19"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57" t="s">
        <v>37</v>
      </c>
      <c r="C19" s="17" t="s">
        <v>22</v>
      </c>
      <c r="D19" s="58"/>
      <c r="E19" s="40"/>
      <c r="F19" s="66">
        <v>4</v>
      </c>
      <c r="G19" s="65" t="str">
        <f t="shared" si="7"/>
        <v xml:space="preserve"> - </v>
      </c>
      <c r="H19" s="67">
        <v>0</v>
      </c>
      <c r="I19" s="18" t="str">
        <f t="shared" si="4"/>
        <v xml:space="preserve"> - </v>
      </c>
      <c r="J19" s="37"/>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7" customFormat="1" ht="18" x14ac:dyDescent="0.15">
      <c r="A20" s="16"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2.1.1</v>
      </c>
      <c r="B20" s="59" t="s">
        <v>38</v>
      </c>
      <c r="C20" s="17" t="s">
        <v>26</v>
      </c>
      <c r="D20" s="58"/>
      <c r="E20" s="40"/>
      <c r="F20" s="66">
        <v>7</v>
      </c>
      <c r="G20" s="65" t="str">
        <f t="shared" si="7"/>
        <v xml:space="preserve"> - </v>
      </c>
      <c r="H20" s="67">
        <v>0.5</v>
      </c>
      <c r="I20" s="18" t="str">
        <f t="shared" si="4"/>
        <v xml:space="preserve"> - </v>
      </c>
      <c r="J20" s="37"/>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s="17" customFormat="1" ht="21.75" x14ac:dyDescent="0.15">
      <c r="A21" s="16"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2.1.2</v>
      </c>
      <c r="B21" s="59" t="s">
        <v>39</v>
      </c>
      <c r="C21" s="17" t="s">
        <v>24</v>
      </c>
      <c r="D21" s="58"/>
      <c r="E21" s="40"/>
      <c r="F21" s="66">
        <v>3</v>
      </c>
      <c r="G21" s="65" t="str">
        <f t="shared" si="7"/>
        <v xml:space="preserve"> - </v>
      </c>
      <c r="H21" s="67">
        <v>0.5</v>
      </c>
      <c r="I21" s="18" t="str">
        <f t="shared" si="4"/>
        <v xml:space="preserve"> - </v>
      </c>
      <c r="J21" s="37"/>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7" customFormat="1" ht="21.75" x14ac:dyDescent="0.15">
      <c r="A22"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2" s="57" t="s">
        <v>40</v>
      </c>
      <c r="C22" s="17" t="s">
        <v>33</v>
      </c>
      <c r="D22" s="58"/>
      <c r="E22" s="40"/>
      <c r="F22" s="66">
        <v>3</v>
      </c>
      <c r="G22" s="65" t="str">
        <f t="shared" si="7"/>
        <v xml:space="preserve"> - </v>
      </c>
      <c r="H22" s="67">
        <v>0</v>
      </c>
      <c r="I22" s="18" t="str">
        <f t="shared" si="4"/>
        <v xml:space="preserve"> - </v>
      </c>
      <c r="J22" s="37"/>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21.75" x14ac:dyDescent="0.15">
      <c r="A23"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3" s="57" t="s">
        <v>41</v>
      </c>
      <c r="C23" s="17" t="s">
        <v>28</v>
      </c>
      <c r="D23" s="58"/>
      <c r="E23" s="40"/>
      <c r="F23" s="66">
        <v>3</v>
      </c>
      <c r="G23" s="65" t="str">
        <f t="shared" si="7"/>
        <v xml:space="preserve"> - </v>
      </c>
      <c r="H23" s="67">
        <v>0</v>
      </c>
      <c r="I23" s="18" t="str">
        <f t="shared" si="4"/>
        <v xml:space="preserve"> - </v>
      </c>
      <c r="J23" s="37"/>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8" x14ac:dyDescent="0.15">
      <c r="A24"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4" s="57" t="s">
        <v>42</v>
      </c>
      <c r="C24" s="17" t="s">
        <v>43</v>
      </c>
      <c r="D24" s="58"/>
      <c r="E24" s="40"/>
      <c r="F24" s="66">
        <v>6</v>
      </c>
      <c r="G24" s="65" t="str">
        <f t="shared" si="7"/>
        <v xml:space="preserve"> - </v>
      </c>
      <c r="H24" s="67">
        <v>0</v>
      </c>
      <c r="I24" s="18" t="str">
        <f t="shared" si="4"/>
        <v xml:space="preserve"> - </v>
      </c>
      <c r="J24" s="37"/>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7" customFormat="1" ht="18" x14ac:dyDescent="0.15">
      <c r="A25" s="16"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5" s="57" t="s">
        <v>44</v>
      </c>
      <c r="C25" s="17" t="s">
        <v>43</v>
      </c>
      <c r="D25" s="58"/>
      <c r="E25" s="40"/>
      <c r="F25" s="66">
        <v>3</v>
      </c>
      <c r="G25" s="65" t="str">
        <f t="shared" si="7"/>
        <v xml:space="preserve"> - </v>
      </c>
      <c r="H25" s="67">
        <v>0</v>
      </c>
      <c r="I25" s="18" t="str">
        <f t="shared" si="4"/>
        <v xml:space="preserve"> - </v>
      </c>
      <c r="J25" s="37"/>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s="24" customFormat="1" ht="18" x14ac:dyDescent="0.15">
      <c r="A26" s="16"/>
      <c r="B26" s="19"/>
      <c r="C26" s="19"/>
      <c r="D26" s="20"/>
      <c r="E26" s="42"/>
      <c r="F26" s="21"/>
      <c r="G26" s="42"/>
      <c r="H26" s="22"/>
      <c r="I26" s="23" t="str">
        <f t="shared" si="4"/>
        <v xml:space="preserve"> - </v>
      </c>
      <c r="J26" s="39"/>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s="24" customFormat="1" ht="18" x14ac:dyDescent="0.15">
      <c r="A27" s="16"/>
      <c r="B27" s="19"/>
      <c r="C27" s="19"/>
      <c r="D27" s="20"/>
      <c r="E27" s="42"/>
      <c r="F27" s="21"/>
      <c r="G27" s="42"/>
      <c r="H27" s="22"/>
      <c r="I27" s="23" t="str">
        <f t="shared" si="4"/>
        <v xml:space="preserve"> - </v>
      </c>
      <c r="J27" s="39"/>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sheetData>
  <sheetProtection formatCells="0" formatColumns="0" formatRows="0" insertRows="0" deleteRows="0"/>
  <mergeCells count="18">
    <mergeCell ref="K1:AE1"/>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9 H22:H27">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H20:H21">
    <cfRule type="dataBar" priority="1">
      <dataBar>
        <cfvo type="num" val="0"/>
        <cfvo type="num" val="1"/>
        <color theme="0" tint="-0.34998626667073579"/>
      </dataBar>
      <extLst>
        <ext xmlns:x14="http://schemas.microsoft.com/office/spreadsheetml/2009/9/main" uri="{B025F937-C7B1-47D3-B67F-A62EFF666E3E}">
          <x14:id>{D39C67F2-10A6-4588-8E23-59D0CE8C236C}</x14:id>
        </ext>
      </extLst>
    </cfRule>
  </conditionalFormatting>
  <conditionalFormatting sqref="K6:BN7">
    <cfRule type="expression" dxfId="3" priority="49">
      <formula>K$6=TODAY()</formula>
    </cfRule>
  </conditionalFormatting>
  <conditionalFormatting sqref="K6:BN27">
    <cfRule type="expression" dxfId="2" priority="2">
      <formula>K$6=TODAY()</formula>
    </cfRule>
  </conditionalFormatting>
  <conditionalFormatting sqref="K8:BN27">
    <cfRule type="expression" dxfId="1" priority="60">
      <formula>AND($E8&lt;=K$6,ROUNDDOWN(($G8-$E8+1)*$H8,0)+$E8-1&gt;=K$6)</formula>
    </cfRule>
    <cfRule type="expression" dxfId="0" priority="61">
      <formula>AND(NOT(ISBLANK($E8)),$E8&lt;=K$6,$G8&gt;=K$6)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AE1" r:id="rId1" display="Gantt Chart Template © 2006-2018 by Vertex42.com." xr:uid="{00000000-0004-0000-0000-000000000000}"/>
  </hyperlinks>
  <pageMargins left="0.25" right="0.25" top="0.5" bottom="0.5" header="0.5" footer="0.25"/>
  <pageSetup scale="63" fitToHeight="0" orientation="landscape" r:id="rId2"/>
  <headerFooter alignWithMargins="0"/>
  <ignoredErrors>
    <ignoredError sqref="H9 A26:B27 E18 H26:H27 H18 H22:H24 H13:H14 E26:E27 F18 F26:F27" unlockedFormula="1"/>
    <ignoredError sqref="A18"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99060</xdr:colOff>
                    <xdr:row>1</xdr:row>
                    <xdr:rowOff>121920</xdr:rowOff>
                  </from>
                  <to>
                    <xdr:col>27</xdr:col>
                    <xdr:colOff>83820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H8:H19 H22:H27</xm:sqref>
        </x14:conditionalFormatting>
        <x14:conditionalFormatting xmlns:xm="http://schemas.microsoft.com/office/excel/2006/main">
          <x14:cfRule type="dataBar" id="{D39C67F2-10A6-4588-8E23-59D0CE8C236C}">
            <x14:dataBar minLength="0" maxLength="100" gradient="0">
              <x14:cfvo type="num">
                <xm:f>0</xm:f>
              </x14:cfvo>
              <x14:cfvo type="num">
                <xm:f>1</xm:f>
              </x14:cfvo>
              <x14:negativeFillColor rgb="FFFF0000"/>
              <x14:axisColor rgb="FF000000"/>
            </x14:dataBar>
          </x14:cfRule>
          <xm:sqref>H20:H21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Kunzul Shakeel Hamna</cp:lastModifiedBy>
  <cp:lastPrinted>2018-02-12T20:25:38Z</cp:lastPrinted>
  <dcterms:created xsi:type="dcterms:W3CDTF">2010-06-09T16:05:03Z</dcterms:created>
  <dcterms:modified xsi:type="dcterms:W3CDTF">2026-01-30T06:42:19Z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